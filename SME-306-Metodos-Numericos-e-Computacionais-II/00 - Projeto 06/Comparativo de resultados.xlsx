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iv\OneDrive\Documentos\GitHub\calculo-numerico\SME-306-Metodos-Numericos-e-Computacionais-II\00 - Projeto 06\"/>
    </mc:Choice>
  </mc:AlternateContent>
  <xr:revisionPtr revIDLastSave="0" documentId="13_ncr:1_{A3571C65-67B6-45CA-ABA8-12AB22357AC4}" xr6:coauthVersionLast="47" xr6:coauthVersionMax="47" xr10:uidLastSave="{00000000-0000-0000-0000-000000000000}"/>
  <bookViews>
    <workbookView xWindow="-108" yWindow="-108" windowWidth="23256" windowHeight="12576" xr2:uid="{1B5FC16F-BD3C-4D70-BE15-F7BFD636D9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Q39" i="1"/>
  <c r="Q38" i="1"/>
  <c r="Y9" i="1"/>
  <c r="AA9" i="1"/>
  <c r="AB9" i="1"/>
  <c r="AC9" i="1"/>
  <c r="Y10" i="1"/>
  <c r="AA10" i="1"/>
  <c r="AB10" i="1"/>
  <c r="R40" i="1" s="1"/>
  <c r="AC10" i="1"/>
  <c r="Y11" i="1"/>
  <c r="AA11" i="1"/>
  <c r="AB11" i="1"/>
  <c r="R41" i="1" s="1"/>
  <c r="AC11" i="1"/>
  <c r="Y12" i="1"/>
  <c r="AA12" i="1"/>
  <c r="AB12" i="1"/>
  <c r="AC12" i="1"/>
  <c r="R42" i="1" s="1"/>
  <c r="Y13" i="1"/>
  <c r="AA13" i="1"/>
  <c r="AB13" i="1"/>
  <c r="R43" i="1" s="1"/>
  <c r="AC13" i="1"/>
  <c r="Y14" i="1"/>
  <c r="AA14" i="1"/>
  <c r="AB14" i="1"/>
  <c r="R44" i="1" s="1"/>
  <c r="AC14" i="1"/>
  <c r="Y15" i="1"/>
  <c r="AA15" i="1"/>
  <c r="AB15" i="1"/>
  <c r="R45" i="1" s="1"/>
  <c r="AC15" i="1"/>
  <c r="Y16" i="1"/>
  <c r="AA16" i="1"/>
  <c r="AB16" i="1"/>
  <c r="AC16" i="1"/>
  <c r="Y17" i="1"/>
  <c r="AA17" i="1"/>
  <c r="AB17" i="1"/>
  <c r="AC17" i="1"/>
  <c r="Y18" i="1"/>
  <c r="AA18" i="1"/>
  <c r="AB18" i="1"/>
  <c r="AC18" i="1"/>
  <c r="Y19" i="1"/>
  <c r="AA19" i="1"/>
  <c r="AB19" i="1"/>
  <c r="R49" i="1" s="1"/>
  <c r="AC19" i="1"/>
  <c r="Y20" i="1"/>
  <c r="AA20" i="1"/>
  <c r="AB20" i="1"/>
  <c r="AC20" i="1"/>
  <c r="R50" i="1" s="1"/>
  <c r="Y21" i="1"/>
  <c r="AA21" i="1"/>
  <c r="AB21" i="1"/>
  <c r="R51" i="1" s="1"/>
  <c r="AC21" i="1"/>
  <c r="Y22" i="1"/>
  <c r="AA22" i="1"/>
  <c r="AB22" i="1"/>
  <c r="AC22" i="1"/>
  <c r="R52" i="1" s="1"/>
  <c r="Y23" i="1"/>
  <c r="AA23" i="1"/>
  <c r="AB23" i="1"/>
  <c r="R53" i="1" s="1"/>
  <c r="AC23" i="1"/>
  <c r="Y24" i="1"/>
  <c r="AA24" i="1"/>
  <c r="AB24" i="1"/>
  <c r="R54" i="1" s="1"/>
  <c r="AC24" i="1"/>
  <c r="Y25" i="1"/>
  <c r="AA25" i="1"/>
  <c r="AB25" i="1"/>
  <c r="AC25" i="1"/>
  <c r="Y26" i="1"/>
  <c r="Z26" i="1"/>
  <c r="AA26" i="1"/>
  <c r="AB26" i="1"/>
  <c r="AC26" i="1"/>
  <c r="Y27" i="1"/>
  <c r="AA27" i="1"/>
  <c r="AB27" i="1"/>
  <c r="AC27" i="1"/>
  <c r="AC8" i="1"/>
  <c r="AB8" i="1"/>
  <c r="R38" i="1" s="1"/>
  <c r="AA8" i="1"/>
  <c r="Y8" i="1"/>
  <c r="X10" i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Q57" i="1" s="1"/>
  <c r="E7" i="1"/>
  <c r="Z15" i="1" s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Z16" i="1" l="1"/>
  <c r="Q48" i="1"/>
  <c r="Z18" i="1"/>
  <c r="R46" i="1"/>
  <c r="Z13" i="1"/>
  <c r="Q40" i="1"/>
  <c r="Z21" i="1"/>
  <c r="R39" i="1"/>
  <c r="Z24" i="1"/>
  <c r="R47" i="1"/>
  <c r="Z14" i="1"/>
  <c r="Z9" i="1"/>
  <c r="Z27" i="1"/>
  <c r="R55" i="1"/>
  <c r="Z22" i="1"/>
  <c r="Z19" i="1"/>
  <c r="Z8" i="1"/>
  <c r="R48" i="1"/>
  <c r="Z17" i="1"/>
  <c r="Z12" i="1"/>
  <c r="R57" i="1"/>
  <c r="Z11" i="1"/>
  <c r="R56" i="1"/>
  <c r="Z25" i="1"/>
  <c r="Z20" i="1"/>
  <c r="Q56" i="1"/>
  <c r="Z10" i="1"/>
  <c r="Q49" i="1"/>
  <c r="Q41" i="1"/>
  <c r="Q45" i="1"/>
  <c r="Q52" i="1"/>
  <c r="Q55" i="1"/>
  <c r="Q47" i="1"/>
  <c r="Q54" i="1"/>
  <c r="Q46" i="1"/>
  <c r="Q53" i="1"/>
  <c r="Q44" i="1"/>
  <c r="Q51" i="1"/>
  <c r="Q43" i="1"/>
  <c r="Z23" i="1"/>
  <c r="Q50" i="1"/>
  <c r="Q42" i="1"/>
</calcChain>
</file>

<file path=xl/sharedStrings.xml><?xml version="1.0" encoding="utf-8"?>
<sst xmlns="http://schemas.openxmlformats.org/spreadsheetml/2006/main" count="30" uniqueCount="12">
  <si>
    <t>Regra dos Trapézios</t>
  </si>
  <si>
    <t>Regra de Simpson 1/3</t>
  </si>
  <si>
    <t>Quadratura Gaussiana</t>
  </si>
  <si>
    <t>(Manual)</t>
  </si>
  <si>
    <t>(Função Nativa do MATLAB)</t>
  </si>
  <si>
    <t>Valores de Trabalho (W) por Método de Integração em Joules (J)</t>
  </si>
  <si>
    <t>Quantidade de Pontos (N)</t>
  </si>
  <si>
    <t>Logaritmo Natural da Quantidade de Pontos - LN (N)</t>
  </si>
  <si>
    <t>Erro: |Quadratura (Manual) - Quadratura (Matlab)|</t>
  </si>
  <si>
    <t>Log (Erro)</t>
  </si>
  <si>
    <t>N</t>
  </si>
  <si>
    <t>Log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</si>
</sst>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7" xfId="0" applyFont="1" applyFill="1" applyBorder="1" applyAlignment="1">
      <alignment horizontal="center" vertical="center" textRotation="90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4" borderId="1" xfId="0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0" fillId="0" borderId="0" xfId="0" applyNumberFormat="1"/>
    <xf numFmtId="0" fontId="1" fillId="3" borderId="14" xfId="0" applyFont="1" applyFill="1" applyBorder="1" applyAlignment="1">
      <alignment horizontal="center"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Trabalho (J) por Método de Integração</a:t>
            </a:r>
            <a:r>
              <a:rPr lang="pt-BR" baseline="0"/>
              <a:t> vs Quantide de Pontos (N)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Planilha1!$Y$6:$Y$7</c:f>
              <c:strCache>
                <c:ptCount val="2"/>
                <c:pt idx="0">
                  <c:v>Regra dos Trapézios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Planilha1!$X$8:$X$18</c:f>
              <c:numCache>
                <c:formatCode>General</c:formatCod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Planilha1!$Y$8:$Y$18</c:f>
              <c:numCache>
                <c:formatCode>0.00</c:formatCode>
                <c:ptCount val="11"/>
                <c:pt idx="0">
                  <c:v>138072.4</c:v>
                </c:pt>
                <c:pt idx="1">
                  <c:v>138072.4</c:v>
                </c:pt>
                <c:pt idx="2">
                  <c:v>138072.4</c:v>
                </c:pt>
                <c:pt idx="3">
                  <c:v>138072.4</c:v>
                </c:pt>
                <c:pt idx="4">
                  <c:v>138072.4</c:v>
                </c:pt>
                <c:pt idx="5">
                  <c:v>138072.4</c:v>
                </c:pt>
                <c:pt idx="6">
                  <c:v>138072.4</c:v>
                </c:pt>
                <c:pt idx="7">
                  <c:v>138072.4</c:v>
                </c:pt>
                <c:pt idx="8">
                  <c:v>138072.4</c:v>
                </c:pt>
                <c:pt idx="9">
                  <c:v>138072.4</c:v>
                </c:pt>
                <c:pt idx="10">
                  <c:v>138072.4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1-4A6F-B0A0-E1C828ED09F9}"/>
            </c:ext>
          </c:extLst>
        </c:ser>
        <c:ser>
          <c:idx val="1"/>
          <c:order val="1"/>
          <c:tx>
            <c:strRef>
              <c:f>Planilha1!$Z$6:$Z$7</c:f>
              <c:strCache>
                <c:ptCount val="2"/>
                <c:pt idx="0">
                  <c:v>Regra dos Trapézios</c:v>
                </c:pt>
                <c:pt idx="1">
                  <c:v>(Função Nativa do MATLAB)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Planilha1!$X$8:$X$18</c:f>
              <c:numCache>
                <c:formatCode>General</c:formatCod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Planilha1!$Z$8:$Z$18</c:f>
              <c:numCache>
                <c:formatCode>0.00</c:formatCode>
                <c:ptCount val="11"/>
                <c:pt idx="0">
                  <c:v>138072.4</c:v>
                </c:pt>
                <c:pt idx="1">
                  <c:v>138072.4</c:v>
                </c:pt>
                <c:pt idx="2">
                  <c:v>138072.4</c:v>
                </c:pt>
                <c:pt idx="3">
                  <c:v>138072.4</c:v>
                </c:pt>
                <c:pt idx="4">
                  <c:v>138072.4</c:v>
                </c:pt>
                <c:pt idx="5">
                  <c:v>138072.4</c:v>
                </c:pt>
                <c:pt idx="6">
                  <c:v>138072.4</c:v>
                </c:pt>
                <c:pt idx="7">
                  <c:v>138072.4</c:v>
                </c:pt>
                <c:pt idx="8">
                  <c:v>138072.4</c:v>
                </c:pt>
                <c:pt idx="9">
                  <c:v>138072.4</c:v>
                </c:pt>
                <c:pt idx="10">
                  <c:v>138072.4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71-4A6F-B0A0-E1C828ED09F9}"/>
            </c:ext>
          </c:extLst>
        </c:ser>
        <c:ser>
          <c:idx val="2"/>
          <c:order val="2"/>
          <c:tx>
            <c:strRef>
              <c:f>Planilha1!$AA$6:$AA$7</c:f>
              <c:strCache>
                <c:ptCount val="2"/>
                <c:pt idx="0">
                  <c:v>Regra de Simpson 1/3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Planilha1!$X$8:$X$18</c:f>
              <c:numCache>
                <c:formatCode>General</c:formatCod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Planilha1!$AA$8:$AA$18</c:f>
              <c:numCache>
                <c:formatCode>0.00</c:formatCode>
                <c:ptCount val="11"/>
                <c:pt idx="0">
                  <c:v>138053.46</c:v>
                </c:pt>
                <c:pt idx="1">
                  <c:v>141613.96</c:v>
                </c:pt>
                <c:pt idx="2">
                  <c:v>141125.43</c:v>
                </c:pt>
                <c:pt idx="3">
                  <c:v>142249.12</c:v>
                </c:pt>
                <c:pt idx="4">
                  <c:v>141104.4</c:v>
                </c:pt>
                <c:pt idx="5">
                  <c:v>140384.87</c:v>
                </c:pt>
                <c:pt idx="6">
                  <c:v>140583.96</c:v>
                </c:pt>
                <c:pt idx="7">
                  <c:v>140943.65</c:v>
                </c:pt>
                <c:pt idx="8">
                  <c:v>140750.14000000001</c:v>
                </c:pt>
                <c:pt idx="9">
                  <c:v>140865.65</c:v>
                </c:pt>
                <c:pt idx="10">
                  <c:v>140889.81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71-4A6F-B0A0-E1C828ED09F9}"/>
            </c:ext>
          </c:extLst>
        </c:ser>
        <c:ser>
          <c:idx val="3"/>
          <c:order val="3"/>
          <c:tx>
            <c:strRef>
              <c:f>Planilha1!$AB$6:$AB$7</c:f>
              <c:strCache>
                <c:ptCount val="2"/>
                <c:pt idx="0">
                  <c:v>Quadratura Gaussiana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Planilha1!$X$8:$X$18</c:f>
              <c:numCache>
                <c:formatCode>General</c:formatCod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Planilha1!$AB$8:$AB$18</c:f>
              <c:numCache>
                <c:formatCode>0.00</c:formatCode>
                <c:ptCount val="11"/>
                <c:pt idx="0">
                  <c:v>140200.14000000001</c:v>
                </c:pt>
                <c:pt idx="1">
                  <c:v>141592.29</c:v>
                </c:pt>
                <c:pt idx="2">
                  <c:v>140873.4</c:v>
                </c:pt>
                <c:pt idx="3">
                  <c:v>140873.26</c:v>
                </c:pt>
                <c:pt idx="4">
                  <c:v>140829.09</c:v>
                </c:pt>
                <c:pt idx="5">
                  <c:v>140830.14000000001</c:v>
                </c:pt>
                <c:pt idx="6">
                  <c:v>140842.73000000001</c:v>
                </c:pt>
                <c:pt idx="7">
                  <c:v>140841.26</c:v>
                </c:pt>
                <c:pt idx="8">
                  <c:v>140835.69</c:v>
                </c:pt>
                <c:pt idx="9">
                  <c:v>140839.13</c:v>
                </c:pt>
                <c:pt idx="10">
                  <c:v>140837.49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71-4A6F-B0A0-E1C828ED09F9}"/>
            </c:ext>
          </c:extLst>
        </c:ser>
        <c:ser>
          <c:idx val="4"/>
          <c:order val="4"/>
          <c:tx>
            <c:strRef>
              <c:f>Planilha1!$AC$6:$AC$7</c:f>
              <c:strCache>
                <c:ptCount val="2"/>
                <c:pt idx="0">
                  <c:v>Quadratura Gaussiana</c:v>
                </c:pt>
                <c:pt idx="1">
                  <c:v>(Função Nativa do MATLAB)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Planilha1!$X$8:$X$18</c:f>
              <c:numCache>
                <c:formatCode>General</c:formatCode>
                <c:ptCount val="11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Planilha1!$AC$8:$AC$18</c:f>
              <c:numCache>
                <c:formatCode>0.00</c:formatCode>
                <c:ptCount val="11"/>
                <c:pt idx="0">
                  <c:v>140775.42000000001</c:v>
                </c:pt>
                <c:pt idx="1">
                  <c:v>140775.42000000001</c:v>
                </c:pt>
                <c:pt idx="2">
                  <c:v>140775.42000000001</c:v>
                </c:pt>
                <c:pt idx="3">
                  <c:v>140775.42000000001</c:v>
                </c:pt>
                <c:pt idx="4">
                  <c:v>140775.42000000001</c:v>
                </c:pt>
                <c:pt idx="5">
                  <c:v>140775.42000000001</c:v>
                </c:pt>
                <c:pt idx="6">
                  <c:v>140775.42000000001</c:v>
                </c:pt>
                <c:pt idx="7">
                  <c:v>140775.42000000001</c:v>
                </c:pt>
                <c:pt idx="8">
                  <c:v>140775.42000000001</c:v>
                </c:pt>
                <c:pt idx="9">
                  <c:v>140775.42000000001</c:v>
                </c:pt>
                <c:pt idx="10">
                  <c:v>140775.42000000001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71-4A6F-B0A0-E1C828ED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48895"/>
        <c:axId val="1526446495"/>
      </c:scatterChart>
      <c:valAx>
        <c:axId val="1526448895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  <a:r>
                  <a:rPr lang="pt-BR" baseline="0"/>
                  <a:t> de pontos (N)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46495"/>
        <c:crosses val="autoZero"/>
        <c:crossBetween val="midCat"/>
      </c:valAx>
      <c:valAx>
        <c:axId val="15264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Trabalho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4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(|Quadratura (Manual) - Quadratura (Matlab)|) vs. Log (N) para 500 ≤ N ≤ 100.000</a:t>
            </a:r>
            <a:endParaRPr 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Planilha1!$R$36:$R$37</c:f>
              <c:strCache>
                <c:ptCount val="2"/>
                <c:pt idx="0">
                  <c:v>Erro: |Quadratura (Manual) - Quadratura (Matlab)|</c:v>
                </c:pt>
                <c:pt idx="1">
                  <c:v>Log (Erro)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Planilha1!$Q$38:$Q$57</c:f>
              <c:numCache>
                <c:formatCode>General</c:formatCode>
                <c:ptCount val="20"/>
                <c:pt idx="0">
                  <c:v>6.2146080984221914</c:v>
                </c:pt>
                <c:pt idx="1">
                  <c:v>6.9077552789821368</c:v>
                </c:pt>
                <c:pt idx="2">
                  <c:v>7.6009024595420822</c:v>
                </c:pt>
                <c:pt idx="3">
                  <c:v>8.0063675676502459</c:v>
                </c:pt>
                <c:pt idx="4">
                  <c:v>8.2940496401020276</c:v>
                </c:pt>
                <c:pt idx="5">
                  <c:v>8.5171931914162382</c:v>
                </c:pt>
                <c:pt idx="6">
                  <c:v>8.6995147482101913</c:v>
                </c:pt>
                <c:pt idx="7">
                  <c:v>8.8536654280374503</c:v>
                </c:pt>
                <c:pt idx="8">
                  <c:v>8.987196820661973</c:v>
                </c:pt>
                <c:pt idx="9">
                  <c:v>9.1049798563183568</c:v>
                </c:pt>
                <c:pt idx="10">
                  <c:v>9.2103403719761836</c:v>
                </c:pt>
                <c:pt idx="11">
                  <c:v>9.9034875525361272</c:v>
                </c:pt>
                <c:pt idx="12">
                  <c:v>10.308952660644293</c:v>
                </c:pt>
                <c:pt idx="13">
                  <c:v>10.596634733096073</c:v>
                </c:pt>
                <c:pt idx="14">
                  <c:v>10.819778284410283</c:v>
                </c:pt>
                <c:pt idx="15">
                  <c:v>11.002099841204238</c:v>
                </c:pt>
                <c:pt idx="16">
                  <c:v>11.156250521031495</c:v>
                </c:pt>
                <c:pt idx="17">
                  <c:v>11.289781913656018</c:v>
                </c:pt>
                <c:pt idx="18">
                  <c:v>11.407564949312402</c:v>
                </c:pt>
                <c:pt idx="19">
                  <c:v>11.512925464970229</c:v>
                </c:pt>
              </c:numCache>
            </c:numRef>
          </c:xVal>
          <c:yVal>
            <c:numRef>
              <c:f>Planilha1!$R$38:$R$57</c:f>
              <c:numCache>
                <c:formatCode>General</c:formatCode>
                <c:ptCount val="20"/>
                <c:pt idx="0">
                  <c:v>575.27999999999884</c:v>
                </c:pt>
                <c:pt idx="1">
                  <c:v>816.86999999999534</c:v>
                </c:pt>
                <c:pt idx="2">
                  <c:v>97.979999999981374</c:v>
                </c:pt>
                <c:pt idx="3">
                  <c:v>97.839999999996508</c:v>
                </c:pt>
                <c:pt idx="4">
                  <c:v>53.669999999983702</c:v>
                </c:pt>
                <c:pt idx="5">
                  <c:v>54.720000000001164</c:v>
                </c:pt>
                <c:pt idx="6">
                  <c:v>67.309999999997672</c:v>
                </c:pt>
                <c:pt idx="7">
                  <c:v>65.839999999996508</c:v>
                </c:pt>
                <c:pt idx="8">
                  <c:v>60.269999999989523</c:v>
                </c:pt>
                <c:pt idx="9">
                  <c:v>63.709999999991851</c:v>
                </c:pt>
                <c:pt idx="10">
                  <c:v>62.069999999977881</c:v>
                </c:pt>
                <c:pt idx="11">
                  <c:v>63.369999999995343</c:v>
                </c:pt>
                <c:pt idx="12">
                  <c:v>63.409999999974389</c:v>
                </c:pt>
                <c:pt idx="13">
                  <c:v>63.319999999977881</c:v>
                </c:pt>
                <c:pt idx="14">
                  <c:v>63.209999999991851</c:v>
                </c:pt>
                <c:pt idx="15">
                  <c:v>63.279999999998836</c:v>
                </c:pt>
                <c:pt idx="16">
                  <c:v>63.329999999987194</c:v>
                </c:pt>
                <c:pt idx="17">
                  <c:v>63.309999999997672</c:v>
                </c:pt>
                <c:pt idx="18">
                  <c:v>63.339999999996508</c:v>
                </c:pt>
                <c:pt idx="19">
                  <c:v>63.309999999997672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FA-44CD-9474-9F77476B3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811824"/>
        <c:axId val="1337817104"/>
      </c:scatterChart>
      <c:valAx>
        <c:axId val="1337811824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/>
                  <a:t>Log</a:t>
                </a:r>
                <a:r>
                  <a:rPr lang="pt-BR" sz="1000" baseline="0"/>
                  <a:t> (N</a:t>
                </a: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 onde N = Quantidade de subdivisões </a:t>
                </a:r>
                <a:endParaRPr lang="pt-BR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7817104"/>
        <c:crosses val="autoZero"/>
        <c:crossBetween val="midCat"/>
        <c:majorUnit val="0.5"/>
      </c:valAx>
      <c:valAx>
        <c:axId val="13378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Log (|Erro|)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781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(|Quadratura (Manual) - Quadratura (Matlab)|) vs. Log (N) para N ≥ 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Planilha1!$R$36:$R$37</c:f>
              <c:strCache>
                <c:ptCount val="2"/>
                <c:pt idx="0">
                  <c:v>Erro: |Quadratura (Manual) - Quadratura (Matlab)|</c:v>
                </c:pt>
                <c:pt idx="1">
                  <c:v>Log (Erro)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Planilha1!$Q$40:$Q$57</c:f>
              <c:numCache>
                <c:formatCode>General</c:formatCode>
                <c:ptCount val="18"/>
                <c:pt idx="0">
                  <c:v>7.6009024595420822</c:v>
                </c:pt>
                <c:pt idx="1">
                  <c:v>8.0063675676502459</c:v>
                </c:pt>
                <c:pt idx="2">
                  <c:v>8.2940496401020276</c:v>
                </c:pt>
                <c:pt idx="3">
                  <c:v>8.5171931914162382</c:v>
                </c:pt>
                <c:pt idx="4">
                  <c:v>8.6995147482101913</c:v>
                </c:pt>
                <c:pt idx="5">
                  <c:v>8.8536654280374503</c:v>
                </c:pt>
                <c:pt idx="6">
                  <c:v>8.987196820661973</c:v>
                </c:pt>
                <c:pt idx="7">
                  <c:v>9.1049798563183568</c:v>
                </c:pt>
                <c:pt idx="8">
                  <c:v>9.2103403719761836</c:v>
                </c:pt>
                <c:pt idx="9">
                  <c:v>9.9034875525361272</c:v>
                </c:pt>
                <c:pt idx="10">
                  <c:v>10.308952660644293</c:v>
                </c:pt>
                <c:pt idx="11">
                  <c:v>10.596634733096073</c:v>
                </c:pt>
                <c:pt idx="12">
                  <c:v>10.819778284410283</c:v>
                </c:pt>
                <c:pt idx="13">
                  <c:v>11.002099841204238</c:v>
                </c:pt>
                <c:pt idx="14">
                  <c:v>11.156250521031495</c:v>
                </c:pt>
                <c:pt idx="15">
                  <c:v>11.289781913656018</c:v>
                </c:pt>
                <c:pt idx="16">
                  <c:v>11.407564949312402</c:v>
                </c:pt>
                <c:pt idx="17">
                  <c:v>11.512925464970229</c:v>
                </c:pt>
              </c:numCache>
            </c:numRef>
          </c:xVal>
          <c:yVal>
            <c:numRef>
              <c:f>Planilha1!$R$40:$R$57</c:f>
              <c:numCache>
                <c:formatCode>General</c:formatCode>
                <c:ptCount val="18"/>
                <c:pt idx="0">
                  <c:v>97.979999999981374</c:v>
                </c:pt>
                <c:pt idx="1">
                  <c:v>97.839999999996508</c:v>
                </c:pt>
                <c:pt idx="2">
                  <c:v>53.669999999983702</c:v>
                </c:pt>
                <c:pt idx="3">
                  <c:v>54.720000000001164</c:v>
                </c:pt>
                <c:pt idx="4">
                  <c:v>67.309999999997672</c:v>
                </c:pt>
                <c:pt idx="5">
                  <c:v>65.839999999996508</c:v>
                </c:pt>
                <c:pt idx="6">
                  <c:v>60.269999999989523</c:v>
                </c:pt>
                <c:pt idx="7">
                  <c:v>63.709999999991851</c:v>
                </c:pt>
                <c:pt idx="8">
                  <c:v>62.069999999977881</c:v>
                </c:pt>
                <c:pt idx="9">
                  <c:v>63.369999999995343</c:v>
                </c:pt>
                <c:pt idx="10">
                  <c:v>63.409999999974389</c:v>
                </c:pt>
                <c:pt idx="11">
                  <c:v>63.319999999977881</c:v>
                </c:pt>
                <c:pt idx="12">
                  <c:v>63.209999999991851</c:v>
                </c:pt>
                <c:pt idx="13">
                  <c:v>63.279999999998836</c:v>
                </c:pt>
                <c:pt idx="14">
                  <c:v>63.329999999987194</c:v>
                </c:pt>
                <c:pt idx="15">
                  <c:v>63.309999999997672</c:v>
                </c:pt>
                <c:pt idx="16">
                  <c:v>63.339999999996508</c:v>
                </c:pt>
                <c:pt idx="17">
                  <c:v>63.309999999997672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F6-48DA-8610-46163849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811824"/>
        <c:axId val="1337817104"/>
      </c:scatterChart>
      <c:valAx>
        <c:axId val="1337811824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Log</a:t>
                </a:r>
                <a:r>
                  <a:rPr lang="pt-BR" baseline="0"/>
                  <a:t> (N) onde N = Quantidade de subdivisões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7817104"/>
        <c:crosses val="autoZero"/>
        <c:crossBetween val="midCat"/>
        <c:majorUnit val="0.5"/>
      </c:valAx>
      <c:valAx>
        <c:axId val="13378171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Log (|Erro|)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781182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Trabalho (J) por Método de Integração</a:t>
            </a:r>
            <a:r>
              <a:rPr lang="pt-BR" baseline="0"/>
              <a:t> vs Quantide de Pontos (N)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Planilha1!$Y$6:$Y$7</c:f>
              <c:strCache>
                <c:ptCount val="2"/>
                <c:pt idx="0">
                  <c:v>Regra dos Trapézios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Planilha1!$X$18:$X$27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Planilha1!$Y$18:$Y$27</c:f>
              <c:numCache>
                <c:formatCode>0.00</c:formatCode>
                <c:ptCount val="10"/>
                <c:pt idx="0">
                  <c:v>138072.4</c:v>
                </c:pt>
                <c:pt idx="1">
                  <c:v>138072.4</c:v>
                </c:pt>
                <c:pt idx="2">
                  <c:v>138072.4</c:v>
                </c:pt>
                <c:pt idx="3">
                  <c:v>138072.4</c:v>
                </c:pt>
                <c:pt idx="4">
                  <c:v>138072.4</c:v>
                </c:pt>
                <c:pt idx="5">
                  <c:v>138072.4</c:v>
                </c:pt>
                <c:pt idx="6">
                  <c:v>138072.4</c:v>
                </c:pt>
                <c:pt idx="7">
                  <c:v>138072.4</c:v>
                </c:pt>
                <c:pt idx="8">
                  <c:v>138072.4</c:v>
                </c:pt>
                <c:pt idx="9">
                  <c:v>138072.4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A-4B27-AD7D-5D635FF3EE38}"/>
            </c:ext>
          </c:extLst>
        </c:ser>
        <c:ser>
          <c:idx val="1"/>
          <c:order val="1"/>
          <c:tx>
            <c:strRef>
              <c:f>Planilha1!$Z$6:$Z$7</c:f>
              <c:strCache>
                <c:ptCount val="2"/>
                <c:pt idx="0">
                  <c:v>Regra dos Trapézios</c:v>
                </c:pt>
                <c:pt idx="1">
                  <c:v>(Função Nativa do MATLAB)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Planilha1!$X$18:$X$27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Planilha1!$Z$18:$Z$27</c:f>
              <c:numCache>
                <c:formatCode>0.00</c:formatCode>
                <c:ptCount val="10"/>
                <c:pt idx="0">
                  <c:v>138072.4</c:v>
                </c:pt>
                <c:pt idx="1">
                  <c:v>138072.4</c:v>
                </c:pt>
                <c:pt idx="2">
                  <c:v>138072.4</c:v>
                </c:pt>
                <c:pt idx="3">
                  <c:v>138072.4</c:v>
                </c:pt>
                <c:pt idx="4">
                  <c:v>138072.4</c:v>
                </c:pt>
                <c:pt idx="5">
                  <c:v>138072.4</c:v>
                </c:pt>
                <c:pt idx="6">
                  <c:v>138072.4</c:v>
                </c:pt>
                <c:pt idx="7">
                  <c:v>138072.4</c:v>
                </c:pt>
                <c:pt idx="8">
                  <c:v>138072.4</c:v>
                </c:pt>
                <c:pt idx="9">
                  <c:v>138072.4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DA-4B27-AD7D-5D635FF3EE38}"/>
            </c:ext>
          </c:extLst>
        </c:ser>
        <c:ser>
          <c:idx val="2"/>
          <c:order val="2"/>
          <c:tx>
            <c:strRef>
              <c:f>Planilha1!$AA$6:$AA$7</c:f>
              <c:strCache>
                <c:ptCount val="2"/>
                <c:pt idx="0">
                  <c:v>Regra de Simpson 1/3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Planilha1!$X$18:$X$27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Planilha1!$AA$18:$AA$27</c:f>
              <c:numCache>
                <c:formatCode>0.00</c:formatCode>
                <c:ptCount val="10"/>
                <c:pt idx="0">
                  <c:v>140889.81</c:v>
                </c:pt>
                <c:pt idx="1">
                  <c:v>140850.72</c:v>
                </c:pt>
                <c:pt idx="2">
                  <c:v>140842.78</c:v>
                </c:pt>
                <c:pt idx="3">
                  <c:v>140836.07</c:v>
                </c:pt>
                <c:pt idx="4">
                  <c:v>140839.99</c:v>
                </c:pt>
                <c:pt idx="5">
                  <c:v>140838.95000000001</c:v>
                </c:pt>
                <c:pt idx="6">
                  <c:v>140839.19</c:v>
                </c:pt>
                <c:pt idx="7">
                  <c:v>140838.59</c:v>
                </c:pt>
                <c:pt idx="8">
                  <c:v>140838.46</c:v>
                </c:pt>
                <c:pt idx="9">
                  <c:v>140838.96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DA-4B27-AD7D-5D635FF3EE38}"/>
            </c:ext>
          </c:extLst>
        </c:ser>
        <c:ser>
          <c:idx val="3"/>
          <c:order val="3"/>
          <c:tx>
            <c:strRef>
              <c:f>Planilha1!$AB$6:$AB$7</c:f>
              <c:strCache>
                <c:ptCount val="2"/>
                <c:pt idx="0">
                  <c:v>Quadratura Gaussiana</c:v>
                </c:pt>
                <c:pt idx="1">
                  <c:v>(Manual)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Planilha1!$X$18:$X$27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Planilha1!$AB$18:$AB$27</c:f>
              <c:numCache>
                <c:formatCode>0.00</c:formatCode>
                <c:ptCount val="10"/>
                <c:pt idx="0">
                  <c:v>140837.49</c:v>
                </c:pt>
                <c:pt idx="1">
                  <c:v>140838.79</c:v>
                </c:pt>
                <c:pt idx="2">
                  <c:v>140838.82999999999</c:v>
                </c:pt>
                <c:pt idx="3">
                  <c:v>140838.74</c:v>
                </c:pt>
                <c:pt idx="4">
                  <c:v>140838.63</c:v>
                </c:pt>
                <c:pt idx="5">
                  <c:v>140838.70000000001</c:v>
                </c:pt>
                <c:pt idx="6">
                  <c:v>140838.75</c:v>
                </c:pt>
                <c:pt idx="7">
                  <c:v>140838.73000000001</c:v>
                </c:pt>
                <c:pt idx="8">
                  <c:v>140838.76</c:v>
                </c:pt>
                <c:pt idx="9">
                  <c:v>140838.73000000001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DA-4B27-AD7D-5D635FF3EE38}"/>
            </c:ext>
          </c:extLst>
        </c:ser>
        <c:ser>
          <c:idx val="4"/>
          <c:order val="4"/>
          <c:tx>
            <c:strRef>
              <c:f>Planilha1!$AC$6:$AC$7</c:f>
              <c:strCache>
                <c:ptCount val="2"/>
                <c:pt idx="0">
                  <c:v>Quadratura Gaussiana</c:v>
                </c:pt>
                <c:pt idx="1">
                  <c:v>(Função Nativa do MATLAB)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Planilha1!$X$18:$X$27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Planilha1!$AC$18:$AC$27</c:f>
              <c:numCache>
                <c:formatCode>0.00</c:formatCode>
                <c:ptCount val="10"/>
                <c:pt idx="0">
                  <c:v>140775.42000000001</c:v>
                </c:pt>
                <c:pt idx="1">
                  <c:v>140775.42000000001</c:v>
                </c:pt>
                <c:pt idx="2">
                  <c:v>140775.42000000001</c:v>
                </c:pt>
                <c:pt idx="3">
                  <c:v>140775.42000000001</c:v>
                </c:pt>
                <c:pt idx="4">
                  <c:v>140775.42000000001</c:v>
                </c:pt>
                <c:pt idx="5">
                  <c:v>140775.42000000001</c:v>
                </c:pt>
                <c:pt idx="6">
                  <c:v>140775.42000000001</c:v>
                </c:pt>
                <c:pt idx="7">
                  <c:v>140775.42000000001</c:v>
                </c:pt>
                <c:pt idx="8">
                  <c:v>140775.42000000001</c:v>
                </c:pt>
                <c:pt idx="9">
                  <c:v>140775.42000000001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DA-4B27-AD7D-5D635FF3E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48895"/>
        <c:axId val="1526446495"/>
      </c:scatterChart>
      <c:valAx>
        <c:axId val="1526448895"/>
        <c:scaling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  <a:r>
                  <a:rPr lang="pt-BR" baseline="0"/>
                  <a:t> de pontos (N)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46495"/>
        <c:crosses val="autoZero"/>
        <c:crossBetween val="midCat"/>
      </c:valAx>
      <c:valAx>
        <c:axId val="15264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Trabalho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4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176364</xdr:rowOff>
    </xdr:from>
    <xdr:to>
      <xdr:col>13</xdr:col>
      <xdr:colOff>287567</xdr:colOff>
      <xdr:row>54</xdr:row>
      <xdr:rowOff>1210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2E624D-633E-2CC2-EB3E-B5959F123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3630</xdr:colOff>
      <xdr:row>34</xdr:row>
      <xdr:rowOff>48384</xdr:rowOff>
    </xdr:from>
    <xdr:to>
      <xdr:col>26</xdr:col>
      <xdr:colOff>54429</xdr:colOff>
      <xdr:row>50</xdr:row>
      <xdr:rowOff>99185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33BA30-9DB9-A66C-A81C-234F2F874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51</xdr:row>
      <xdr:rowOff>162074</xdr:rowOff>
    </xdr:from>
    <xdr:to>
      <xdr:col>26</xdr:col>
      <xdr:colOff>60477</xdr:colOff>
      <xdr:row>73</xdr:row>
      <xdr:rowOff>113694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0B6E1E-D05C-4300-8ADD-7FBF04760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3629</xdr:rowOff>
    </xdr:from>
    <xdr:to>
      <xdr:col>13</xdr:col>
      <xdr:colOff>287567</xdr:colOff>
      <xdr:row>81</xdr:row>
      <xdr:rowOff>95176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2BB728D-DD78-4C25-B01C-0BCFAE40E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8A4D-66DB-4F2F-AFE5-973BB6257067}">
  <dimension ref="B3:AC57"/>
  <sheetViews>
    <sheetView tabSelected="1" topLeftCell="A2" zoomScaleNormal="100" workbookViewId="0">
      <selection activeCell="N20" sqref="N20"/>
    </sheetView>
  </sheetViews>
  <sheetFormatPr defaultRowHeight="14.4" x14ac:dyDescent="0.3"/>
  <cols>
    <col min="2" max="2" width="5.88671875" customWidth="1"/>
    <col min="4" max="4" width="17.88671875" customWidth="1"/>
    <col min="5" max="5" width="24.33203125" customWidth="1"/>
    <col min="6" max="6" width="20.44140625" customWidth="1"/>
    <col min="7" max="7" width="20.88671875" customWidth="1"/>
    <col min="8" max="8" width="24.77734375" customWidth="1"/>
    <col min="17" max="17" width="20.6640625" customWidth="1"/>
    <col min="18" max="18" width="25" bestFit="1" customWidth="1"/>
    <col min="19" max="19" width="20" bestFit="1" customWidth="1"/>
    <col min="20" max="20" width="20.44140625" bestFit="1" customWidth="1"/>
    <col min="21" max="21" width="25" bestFit="1" customWidth="1"/>
  </cols>
  <sheetData>
    <row r="3" spans="2:29" ht="15" thickBot="1" x14ac:dyDescent="0.35"/>
    <row r="4" spans="2:29" ht="15" thickBot="1" x14ac:dyDescent="0.35">
      <c r="B4" s="1"/>
      <c r="C4" s="2"/>
      <c r="D4" s="8" t="s">
        <v>5</v>
      </c>
      <c r="E4" s="8"/>
      <c r="F4" s="8"/>
      <c r="G4" s="8"/>
      <c r="H4" s="9"/>
    </row>
    <row r="5" spans="2:29" ht="15" thickBot="1" x14ac:dyDescent="0.35">
      <c r="B5" s="21"/>
      <c r="C5" s="3"/>
      <c r="D5" s="10" t="s">
        <v>0</v>
      </c>
      <c r="E5" s="10" t="s">
        <v>0</v>
      </c>
      <c r="F5" s="10" t="s">
        <v>1</v>
      </c>
      <c r="G5" s="10" t="s">
        <v>2</v>
      </c>
      <c r="H5" s="11" t="s">
        <v>2</v>
      </c>
      <c r="Y5" s="8" t="s">
        <v>5</v>
      </c>
      <c r="Z5" s="8"/>
      <c r="AA5" s="8"/>
      <c r="AB5" s="8"/>
      <c r="AC5" s="9"/>
    </row>
    <row r="6" spans="2:29" ht="15" thickBot="1" x14ac:dyDescent="0.35">
      <c r="B6" s="1"/>
      <c r="C6" s="22"/>
      <c r="D6" s="10" t="s">
        <v>3</v>
      </c>
      <c r="E6" s="10" t="s">
        <v>4</v>
      </c>
      <c r="F6" s="10" t="s">
        <v>3</v>
      </c>
      <c r="G6" s="10" t="s">
        <v>3</v>
      </c>
      <c r="H6" s="11" t="s">
        <v>4</v>
      </c>
      <c r="Y6" s="10" t="s">
        <v>0</v>
      </c>
      <c r="Z6" s="10" t="s">
        <v>0</v>
      </c>
      <c r="AA6" s="10" t="s">
        <v>1</v>
      </c>
      <c r="AB6" s="10" t="s">
        <v>2</v>
      </c>
      <c r="AC6" s="11" t="s">
        <v>2</v>
      </c>
    </row>
    <row r="7" spans="2:29" ht="15" customHeight="1" thickBot="1" x14ac:dyDescent="0.35">
      <c r="B7" s="4" t="s">
        <v>6</v>
      </c>
      <c r="C7" s="5">
        <v>500</v>
      </c>
      <c r="D7" s="15">
        <v>138072.4</v>
      </c>
      <c r="E7" s="26">
        <f>D7</f>
        <v>138072.4</v>
      </c>
      <c r="F7" s="27">
        <v>138053.46</v>
      </c>
      <c r="G7" s="12">
        <v>140200.14000000001</v>
      </c>
      <c r="H7" s="28">
        <v>140775.42000000001</v>
      </c>
      <c r="Y7" s="10" t="s">
        <v>3</v>
      </c>
      <c r="Z7" s="10" t="s">
        <v>4</v>
      </c>
      <c r="AA7" s="10" t="s">
        <v>3</v>
      </c>
      <c r="AB7" s="10" t="s">
        <v>3</v>
      </c>
      <c r="AC7" s="11" t="s">
        <v>4</v>
      </c>
    </row>
    <row r="8" spans="2:29" ht="15" thickBot="1" x14ac:dyDescent="0.35">
      <c r="B8" s="6"/>
      <c r="C8" s="5">
        <v>1000</v>
      </c>
      <c r="D8" s="16"/>
      <c r="E8" s="18"/>
      <c r="F8" s="25">
        <v>141613.96</v>
      </c>
      <c r="G8" s="13">
        <v>141592.29</v>
      </c>
      <c r="H8" s="23"/>
      <c r="W8" s="4" t="s">
        <v>6</v>
      </c>
      <c r="X8" s="5">
        <v>500</v>
      </c>
      <c r="Y8" s="46">
        <f>$D$7</f>
        <v>138072.4</v>
      </c>
      <c r="Z8" s="46">
        <f>$E$7</f>
        <v>138072.4</v>
      </c>
      <c r="AA8" s="46">
        <f>$F7</f>
        <v>138053.46</v>
      </c>
      <c r="AB8" s="46">
        <f>$G7</f>
        <v>140200.14000000001</v>
      </c>
      <c r="AC8" s="46">
        <f>$H$7</f>
        <v>140775.42000000001</v>
      </c>
    </row>
    <row r="9" spans="2:29" ht="15" thickBot="1" x14ac:dyDescent="0.35">
      <c r="B9" s="6"/>
      <c r="C9" s="5">
        <f>C8+1000</f>
        <v>2000</v>
      </c>
      <c r="D9" s="16"/>
      <c r="E9" s="18"/>
      <c r="F9" s="25">
        <v>141125.43</v>
      </c>
      <c r="G9" s="13">
        <v>140873.4</v>
      </c>
      <c r="H9" s="23"/>
      <c r="W9" s="6"/>
      <c r="X9" s="5">
        <v>1000</v>
      </c>
      <c r="Y9" s="46">
        <f t="shared" ref="Y9:Y27" si="0">$D$7</f>
        <v>138072.4</v>
      </c>
      <c r="Z9" s="46">
        <f t="shared" ref="Z9:Z27" si="1">$E$7</f>
        <v>138072.4</v>
      </c>
      <c r="AA9" s="46">
        <f>$F8</f>
        <v>141613.96</v>
      </c>
      <c r="AB9" s="46">
        <f>$G8</f>
        <v>141592.29</v>
      </c>
      <c r="AC9" s="46">
        <f t="shared" ref="AC9:AC27" si="2">$H$7</f>
        <v>140775.42000000001</v>
      </c>
    </row>
    <row r="10" spans="2:29" ht="15" thickBot="1" x14ac:dyDescent="0.35">
      <c r="B10" s="6"/>
      <c r="C10" s="5">
        <f t="shared" ref="C10:C17" si="3">C9+1000</f>
        <v>3000</v>
      </c>
      <c r="D10" s="16"/>
      <c r="E10" s="18"/>
      <c r="F10" s="25">
        <v>142249.12</v>
      </c>
      <c r="G10" s="13">
        <v>140873.26</v>
      </c>
      <c r="H10" s="23"/>
      <c r="W10" s="6"/>
      <c r="X10" s="5">
        <f>X9+1000</f>
        <v>2000</v>
      </c>
      <c r="Y10" s="46">
        <f t="shared" si="0"/>
        <v>138072.4</v>
      </c>
      <c r="Z10" s="46">
        <f t="shared" si="1"/>
        <v>138072.4</v>
      </c>
      <c r="AA10" s="46">
        <f>$F9</f>
        <v>141125.43</v>
      </c>
      <c r="AB10" s="46">
        <f>$G9</f>
        <v>140873.4</v>
      </c>
      <c r="AC10" s="46">
        <f t="shared" si="2"/>
        <v>140775.42000000001</v>
      </c>
    </row>
    <row r="11" spans="2:29" ht="15" thickBot="1" x14ac:dyDescent="0.35">
      <c r="B11" s="6"/>
      <c r="C11" s="5">
        <f t="shared" si="3"/>
        <v>4000</v>
      </c>
      <c r="D11" s="16"/>
      <c r="E11" s="18"/>
      <c r="F11" s="25">
        <v>141104.4</v>
      </c>
      <c r="G11" s="13">
        <v>140829.09</v>
      </c>
      <c r="H11" s="23"/>
      <c r="W11" s="6"/>
      <c r="X11" s="5">
        <f t="shared" ref="X11:X15" si="4">X10+1000</f>
        <v>3000</v>
      </c>
      <c r="Y11" s="46">
        <f t="shared" si="0"/>
        <v>138072.4</v>
      </c>
      <c r="Z11" s="46">
        <f t="shared" si="1"/>
        <v>138072.4</v>
      </c>
      <c r="AA11" s="46">
        <f>$F10</f>
        <v>142249.12</v>
      </c>
      <c r="AB11" s="46">
        <f>$G10</f>
        <v>140873.26</v>
      </c>
      <c r="AC11" s="46">
        <f t="shared" si="2"/>
        <v>140775.42000000001</v>
      </c>
    </row>
    <row r="12" spans="2:29" ht="15" thickBot="1" x14ac:dyDescent="0.35">
      <c r="B12" s="6"/>
      <c r="C12" s="5">
        <f t="shared" si="3"/>
        <v>5000</v>
      </c>
      <c r="D12" s="16"/>
      <c r="E12" s="18"/>
      <c r="F12" s="25">
        <v>140384.87</v>
      </c>
      <c r="G12" s="13">
        <v>140830.14000000001</v>
      </c>
      <c r="H12" s="23"/>
      <c r="W12" s="6"/>
      <c r="X12" s="5">
        <f t="shared" si="4"/>
        <v>4000</v>
      </c>
      <c r="Y12" s="46">
        <f t="shared" si="0"/>
        <v>138072.4</v>
      </c>
      <c r="Z12" s="46">
        <f t="shared" si="1"/>
        <v>138072.4</v>
      </c>
      <c r="AA12" s="46">
        <f>$F11</f>
        <v>141104.4</v>
      </c>
      <c r="AB12" s="46">
        <f>$G11</f>
        <v>140829.09</v>
      </c>
      <c r="AC12" s="46">
        <f t="shared" si="2"/>
        <v>140775.42000000001</v>
      </c>
    </row>
    <row r="13" spans="2:29" ht="15" thickBot="1" x14ac:dyDescent="0.35">
      <c r="B13" s="6"/>
      <c r="C13" s="5">
        <f t="shared" si="3"/>
        <v>6000</v>
      </c>
      <c r="D13" s="16"/>
      <c r="E13" s="18"/>
      <c r="F13" s="25">
        <v>140583.96</v>
      </c>
      <c r="G13" s="13">
        <v>140842.73000000001</v>
      </c>
      <c r="H13" s="23"/>
      <c r="W13" s="6"/>
      <c r="X13" s="5">
        <f t="shared" si="4"/>
        <v>5000</v>
      </c>
      <c r="Y13" s="46">
        <f t="shared" si="0"/>
        <v>138072.4</v>
      </c>
      <c r="Z13" s="46">
        <f t="shared" si="1"/>
        <v>138072.4</v>
      </c>
      <c r="AA13" s="46">
        <f>$F12</f>
        <v>140384.87</v>
      </c>
      <c r="AB13" s="46">
        <f>$G12</f>
        <v>140830.14000000001</v>
      </c>
      <c r="AC13" s="46">
        <f t="shared" si="2"/>
        <v>140775.42000000001</v>
      </c>
    </row>
    <row r="14" spans="2:29" ht="15" thickBot="1" x14ac:dyDescent="0.35">
      <c r="B14" s="6"/>
      <c r="C14" s="5">
        <f t="shared" si="3"/>
        <v>7000</v>
      </c>
      <c r="D14" s="16"/>
      <c r="E14" s="18"/>
      <c r="F14" s="25">
        <v>140943.65</v>
      </c>
      <c r="G14" s="13">
        <v>140841.26</v>
      </c>
      <c r="H14" s="23"/>
      <c r="W14" s="6"/>
      <c r="X14" s="5">
        <f t="shared" si="4"/>
        <v>6000</v>
      </c>
      <c r="Y14" s="46">
        <f t="shared" si="0"/>
        <v>138072.4</v>
      </c>
      <c r="Z14" s="46">
        <f t="shared" si="1"/>
        <v>138072.4</v>
      </c>
      <c r="AA14" s="46">
        <f>$F13</f>
        <v>140583.96</v>
      </c>
      <c r="AB14" s="46">
        <f>$G13</f>
        <v>140842.73000000001</v>
      </c>
      <c r="AC14" s="46">
        <f t="shared" si="2"/>
        <v>140775.42000000001</v>
      </c>
    </row>
    <row r="15" spans="2:29" ht="15" thickBot="1" x14ac:dyDescent="0.35">
      <c r="B15" s="6"/>
      <c r="C15" s="5">
        <f>C14+1000</f>
        <v>8000</v>
      </c>
      <c r="D15" s="16"/>
      <c r="E15" s="18"/>
      <c r="F15" s="25">
        <v>140750.14000000001</v>
      </c>
      <c r="G15" s="13">
        <v>140835.69</v>
      </c>
      <c r="H15" s="23"/>
      <c r="W15" s="6"/>
      <c r="X15" s="5">
        <f t="shared" si="4"/>
        <v>7000</v>
      </c>
      <c r="Y15" s="46">
        <f t="shared" si="0"/>
        <v>138072.4</v>
      </c>
      <c r="Z15" s="46">
        <f t="shared" si="1"/>
        <v>138072.4</v>
      </c>
      <c r="AA15" s="46">
        <f>$F14</f>
        <v>140943.65</v>
      </c>
      <c r="AB15" s="46">
        <f>$G14</f>
        <v>140841.26</v>
      </c>
      <c r="AC15" s="46">
        <f t="shared" si="2"/>
        <v>140775.42000000001</v>
      </c>
    </row>
    <row r="16" spans="2:29" ht="15" thickBot="1" x14ac:dyDescent="0.35">
      <c r="B16" s="6"/>
      <c r="C16" s="10">
        <f t="shared" si="3"/>
        <v>9000</v>
      </c>
      <c r="D16" s="16"/>
      <c r="E16" s="18"/>
      <c r="F16" s="25">
        <v>140865.65</v>
      </c>
      <c r="G16" s="13">
        <v>140839.13</v>
      </c>
      <c r="H16" s="23"/>
      <c r="W16" s="6"/>
      <c r="X16" s="5">
        <f>X15+1000</f>
        <v>8000</v>
      </c>
      <c r="Y16" s="46">
        <f t="shared" si="0"/>
        <v>138072.4</v>
      </c>
      <c r="Z16" s="46">
        <f t="shared" si="1"/>
        <v>138072.4</v>
      </c>
      <c r="AA16" s="46">
        <f>$F15</f>
        <v>140750.14000000001</v>
      </c>
      <c r="AB16" s="46">
        <f>$G15</f>
        <v>140835.69</v>
      </c>
      <c r="AC16" s="46">
        <f t="shared" si="2"/>
        <v>140775.42000000001</v>
      </c>
    </row>
    <row r="17" spans="2:29" ht="15" thickBot="1" x14ac:dyDescent="0.35">
      <c r="B17" s="6"/>
      <c r="C17" s="5">
        <f t="shared" si="3"/>
        <v>10000</v>
      </c>
      <c r="D17" s="16"/>
      <c r="E17" s="18"/>
      <c r="F17" s="36">
        <v>140889.81</v>
      </c>
      <c r="G17" s="14">
        <v>140837.49</v>
      </c>
      <c r="H17" s="23"/>
      <c r="W17" s="6"/>
      <c r="X17" s="10">
        <f t="shared" ref="X17:X18" si="5">X16+1000</f>
        <v>9000</v>
      </c>
      <c r="Y17" s="46">
        <f t="shared" si="0"/>
        <v>138072.4</v>
      </c>
      <c r="Z17" s="46">
        <f t="shared" si="1"/>
        <v>138072.4</v>
      </c>
      <c r="AA17" s="46">
        <f>$F16</f>
        <v>140865.65</v>
      </c>
      <c r="AB17" s="46">
        <f>$G16</f>
        <v>140839.13</v>
      </c>
      <c r="AC17" s="46">
        <f t="shared" si="2"/>
        <v>140775.42000000001</v>
      </c>
    </row>
    <row r="18" spans="2:29" ht="15" thickBot="1" x14ac:dyDescent="0.35">
      <c r="B18" s="6"/>
      <c r="C18" s="37">
        <f>C17+10000</f>
        <v>20000</v>
      </c>
      <c r="D18" s="16"/>
      <c r="E18" s="18"/>
      <c r="F18" s="38">
        <v>140850.72</v>
      </c>
      <c r="G18" s="39">
        <v>140838.79</v>
      </c>
      <c r="H18" s="23"/>
      <c r="W18" s="6"/>
      <c r="X18" s="5">
        <f t="shared" si="5"/>
        <v>10000</v>
      </c>
      <c r="Y18" s="46">
        <f t="shared" si="0"/>
        <v>138072.4</v>
      </c>
      <c r="Z18" s="46">
        <f t="shared" si="1"/>
        <v>138072.4</v>
      </c>
      <c r="AA18" s="46">
        <f>$F17</f>
        <v>140889.81</v>
      </c>
      <c r="AB18" s="46">
        <f>$G17</f>
        <v>140837.49</v>
      </c>
      <c r="AC18" s="46">
        <f t="shared" si="2"/>
        <v>140775.42000000001</v>
      </c>
    </row>
    <row r="19" spans="2:29" ht="15" thickBot="1" x14ac:dyDescent="0.35">
      <c r="B19" s="6"/>
      <c r="C19" s="31">
        <f t="shared" ref="C19:C30" si="6">C18+10000</f>
        <v>30000</v>
      </c>
      <c r="D19" s="16"/>
      <c r="E19" s="18"/>
      <c r="F19" s="33">
        <v>140842.78</v>
      </c>
      <c r="G19" s="34">
        <v>140838.82999999999</v>
      </c>
      <c r="H19" s="23"/>
      <c r="W19" s="6"/>
      <c r="X19" s="37">
        <f>X18+10000</f>
        <v>20000</v>
      </c>
      <c r="Y19" s="46">
        <f t="shared" si="0"/>
        <v>138072.4</v>
      </c>
      <c r="Z19" s="46">
        <f t="shared" si="1"/>
        <v>138072.4</v>
      </c>
      <c r="AA19" s="46">
        <f>$F18</f>
        <v>140850.72</v>
      </c>
      <c r="AB19" s="46">
        <f>$G18</f>
        <v>140838.79</v>
      </c>
      <c r="AC19" s="46">
        <f t="shared" si="2"/>
        <v>140775.42000000001</v>
      </c>
    </row>
    <row r="20" spans="2:29" ht="15" thickBot="1" x14ac:dyDescent="0.35">
      <c r="B20" s="6"/>
      <c r="C20" s="31">
        <f t="shared" si="6"/>
        <v>40000</v>
      </c>
      <c r="D20" s="16"/>
      <c r="E20" s="18"/>
      <c r="F20" s="33">
        <v>140836.07</v>
      </c>
      <c r="G20" s="34">
        <v>140838.74</v>
      </c>
      <c r="H20" s="23"/>
      <c r="W20" s="6"/>
      <c r="X20" s="31">
        <f t="shared" ref="X20:X27" si="7">X19+10000</f>
        <v>30000</v>
      </c>
      <c r="Y20" s="46">
        <f t="shared" si="0"/>
        <v>138072.4</v>
      </c>
      <c r="Z20" s="46">
        <f t="shared" si="1"/>
        <v>138072.4</v>
      </c>
      <c r="AA20" s="46">
        <f>$F19</f>
        <v>140842.78</v>
      </c>
      <c r="AB20" s="46">
        <f>$G19</f>
        <v>140838.82999999999</v>
      </c>
      <c r="AC20" s="46">
        <f t="shared" si="2"/>
        <v>140775.42000000001</v>
      </c>
    </row>
    <row r="21" spans="2:29" ht="15" thickBot="1" x14ac:dyDescent="0.35">
      <c r="B21" s="6"/>
      <c r="C21" s="40">
        <f t="shared" si="6"/>
        <v>50000</v>
      </c>
      <c r="D21" s="16"/>
      <c r="E21" s="18"/>
      <c r="F21" s="41">
        <v>140839.99</v>
      </c>
      <c r="G21" s="42">
        <v>140838.63</v>
      </c>
      <c r="H21" s="23"/>
      <c r="W21" s="6"/>
      <c r="X21" s="31">
        <f t="shared" si="7"/>
        <v>40000</v>
      </c>
      <c r="Y21" s="46">
        <f t="shared" si="0"/>
        <v>138072.4</v>
      </c>
      <c r="Z21" s="46">
        <f t="shared" si="1"/>
        <v>138072.4</v>
      </c>
      <c r="AA21" s="46">
        <f>$F20</f>
        <v>140836.07</v>
      </c>
      <c r="AB21" s="46">
        <f>$G20</f>
        <v>140838.74</v>
      </c>
      <c r="AC21" s="46">
        <f t="shared" si="2"/>
        <v>140775.42000000001</v>
      </c>
    </row>
    <row r="22" spans="2:29" ht="15" thickBot="1" x14ac:dyDescent="0.35">
      <c r="B22" s="6"/>
      <c r="C22" s="31">
        <f t="shared" si="6"/>
        <v>60000</v>
      </c>
      <c r="D22" s="16"/>
      <c r="E22" s="18"/>
      <c r="F22" s="33">
        <v>140838.95000000001</v>
      </c>
      <c r="G22" s="32">
        <v>140838.70000000001</v>
      </c>
      <c r="H22" s="23"/>
      <c r="W22" s="6"/>
      <c r="X22" s="40">
        <f t="shared" si="7"/>
        <v>50000</v>
      </c>
      <c r="Y22" s="46">
        <f t="shared" si="0"/>
        <v>138072.4</v>
      </c>
      <c r="Z22" s="46">
        <f t="shared" si="1"/>
        <v>138072.4</v>
      </c>
      <c r="AA22" s="46">
        <f>$F21</f>
        <v>140839.99</v>
      </c>
      <c r="AB22" s="46">
        <f>$G21</f>
        <v>140838.63</v>
      </c>
      <c r="AC22" s="46">
        <f t="shared" si="2"/>
        <v>140775.42000000001</v>
      </c>
    </row>
    <row r="23" spans="2:29" ht="15" thickBot="1" x14ac:dyDescent="0.35">
      <c r="B23" s="6"/>
      <c r="C23" s="31">
        <f t="shared" si="6"/>
        <v>70000</v>
      </c>
      <c r="D23" s="16"/>
      <c r="E23" s="18"/>
      <c r="F23" s="33">
        <v>140839.19</v>
      </c>
      <c r="G23" s="34">
        <v>140838.75</v>
      </c>
      <c r="H23" s="23"/>
      <c r="W23" s="6"/>
      <c r="X23" s="31">
        <f t="shared" si="7"/>
        <v>60000</v>
      </c>
      <c r="Y23" s="46">
        <f t="shared" si="0"/>
        <v>138072.4</v>
      </c>
      <c r="Z23" s="46">
        <f t="shared" si="1"/>
        <v>138072.4</v>
      </c>
      <c r="AA23" s="46">
        <f>$F22</f>
        <v>140838.95000000001</v>
      </c>
      <c r="AB23" s="46">
        <f>$G22</f>
        <v>140838.70000000001</v>
      </c>
      <c r="AC23" s="46">
        <f t="shared" si="2"/>
        <v>140775.42000000001</v>
      </c>
    </row>
    <row r="24" spans="2:29" ht="15" thickBot="1" x14ac:dyDescent="0.35">
      <c r="B24" s="6"/>
      <c r="C24" s="31">
        <f t="shared" si="6"/>
        <v>80000</v>
      </c>
      <c r="D24" s="16"/>
      <c r="E24" s="18"/>
      <c r="F24" s="33">
        <v>140838.59</v>
      </c>
      <c r="G24" s="34">
        <v>140838.73000000001</v>
      </c>
      <c r="H24" s="23"/>
      <c r="W24" s="6"/>
      <c r="X24" s="31">
        <f t="shared" si="7"/>
        <v>70000</v>
      </c>
      <c r="Y24" s="46">
        <f t="shared" si="0"/>
        <v>138072.4</v>
      </c>
      <c r="Z24" s="46">
        <f t="shared" si="1"/>
        <v>138072.4</v>
      </c>
      <c r="AA24" s="46">
        <f>$F23</f>
        <v>140839.19</v>
      </c>
      <c r="AB24" s="46">
        <f>$G23</f>
        <v>140838.75</v>
      </c>
      <c r="AC24" s="46">
        <f t="shared" si="2"/>
        <v>140775.42000000001</v>
      </c>
    </row>
    <row r="25" spans="2:29" ht="15" thickBot="1" x14ac:dyDescent="0.35">
      <c r="B25" s="6"/>
      <c r="C25" s="31">
        <f t="shared" si="6"/>
        <v>90000</v>
      </c>
      <c r="D25" s="16"/>
      <c r="E25" s="18"/>
      <c r="F25" s="33">
        <v>140838.46</v>
      </c>
      <c r="G25" s="35">
        <v>140838.76</v>
      </c>
      <c r="H25" s="23"/>
      <c r="W25" s="6"/>
      <c r="X25" s="31">
        <f t="shared" si="7"/>
        <v>80000</v>
      </c>
      <c r="Y25" s="46">
        <f t="shared" si="0"/>
        <v>138072.4</v>
      </c>
      <c r="Z25" s="46">
        <f t="shared" si="1"/>
        <v>138072.4</v>
      </c>
      <c r="AA25" s="46">
        <f>$F24</f>
        <v>140838.59</v>
      </c>
      <c r="AB25" s="46">
        <f>$G24</f>
        <v>140838.73000000001</v>
      </c>
      <c r="AC25" s="46">
        <f t="shared" si="2"/>
        <v>140775.42000000001</v>
      </c>
    </row>
    <row r="26" spans="2:29" ht="15" thickBot="1" x14ac:dyDescent="0.35">
      <c r="B26" s="7"/>
      <c r="C26" s="43">
        <f t="shared" si="6"/>
        <v>100000</v>
      </c>
      <c r="D26" s="17"/>
      <c r="E26" s="19"/>
      <c r="F26" s="44">
        <v>140838.96</v>
      </c>
      <c r="G26" s="45">
        <v>140838.73000000001</v>
      </c>
      <c r="H26" s="24"/>
      <c r="W26" s="6"/>
      <c r="X26" s="31">
        <f t="shared" si="7"/>
        <v>90000</v>
      </c>
      <c r="Y26" s="46">
        <f t="shared" si="0"/>
        <v>138072.4</v>
      </c>
      <c r="Z26" s="46">
        <f t="shared" si="1"/>
        <v>138072.4</v>
      </c>
      <c r="AA26" s="46">
        <f>$F25</f>
        <v>140838.46</v>
      </c>
      <c r="AB26" s="46">
        <f>$G25</f>
        <v>140838.76</v>
      </c>
      <c r="AC26" s="46">
        <f t="shared" si="2"/>
        <v>140775.42000000001</v>
      </c>
    </row>
    <row r="27" spans="2:29" ht="15" thickBot="1" x14ac:dyDescent="0.35">
      <c r="W27" s="7"/>
      <c r="X27" s="43">
        <f t="shared" si="7"/>
        <v>100000</v>
      </c>
      <c r="Y27" s="46">
        <f t="shared" si="0"/>
        <v>138072.4</v>
      </c>
      <c r="Z27" s="46">
        <f t="shared" si="1"/>
        <v>138072.4</v>
      </c>
      <c r="AA27" s="46">
        <f>$F26</f>
        <v>140838.96</v>
      </c>
      <c r="AB27" s="46">
        <f>$G26</f>
        <v>140838.73000000001</v>
      </c>
      <c r="AC27" s="46">
        <f t="shared" si="2"/>
        <v>140775.42000000001</v>
      </c>
    </row>
    <row r="34" spans="15:18" ht="15" thickBot="1" x14ac:dyDescent="0.35"/>
    <row r="35" spans="15:18" ht="15" thickBot="1" x14ac:dyDescent="0.35">
      <c r="R35" s="10" t="s">
        <v>2</v>
      </c>
    </row>
    <row r="36" spans="15:18" ht="29.4" thickBot="1" x14ac:dyDescent="0.35">
      <c r="O36" s="21"/>
      <c r="P36" s="21"/>
      <c r="Q36" s="3"/>
      <c r="R36" s="47" t="s">
        <v>8</v>
      </c>
    </row>
    <row r="37" spans="15:18" ht="15" thickBot="1" x14ac:dyDescent="0.35">
      <c r="O37" s="1"/>
      <c r="P37" s="5" t="s">
        <v>10</v>
      </c>
      <c r="Q37" s="5" t="s">
        <v>11</v>
      </c>
      <c r="R37" s="5" t="s">
        <v>9</v>
      </c>
    </row>
    <row r="38" spans="15:18" ht="15" thickBot="1" x14ac:dyDescent="0.35">
      <c r="O38" s="4" t="s">
        <v>7</v>
      </c>
      <c r="P38" s="5">
        <v>500</v>
      </c>
      <c r="Q38" s="20">
        <f>LN(X8)</f>
        <v>6.2146080984221914</v>
      </c>
      <c r="R38" s="48">
        <f>ABS(AB8-AC8)</f>
        <v>575.27999999999884</v>
      </c>
    </row>
    <row r="39" spans="15:18" ht="15" thickBot="1" x14ac:dyDescent="0.35">
      <c r="O39" s="6"/>
      <c r="P39" s="5">
        <v>1000</v>
      </c>
      <c r="Q39" s="20">
        <f>LN(X9)</f>
        <v>6.9077552789821368</v>
      </c>
      <c r="R39" s="29">
        <f>ABS(AB9-AC9)</f>
        <v>816.86999999999534</v>
      </c>
    </row>
    <row r="40" spans="15:18" ht="15" thickBot="1" x14ac:dyDescent="0.35">
      <c r="O40" s="6"/>
      <c r="P40" s="5">
        <f>P39+1000</f>
        <v>2000</v>
      </c>
      <c r="Q40" s="20">
        <f>LN(X10)</f>
        <v>7.6009024595420822</v>
      </c>
      <c r="R40" s="29">
        <f>ABS(AB10-AC10)</f>
        <v>97.979999999981374</v>
      </c>
    </row>
    <row r="41" spans="15:18" ht="15" thickBot="1" x14ac:dyDescent="0.35">
      <c r="O41" s="6"/>
      <c r="P41" s="5">
        <f t="shared" ref="P41:P49" si="8">P40+1000</f>
        <v>3000</v>
      </c>
      <c r="Q41" s="20">
        <f>LN(X11)</f>
        <v>8.0063675676502459</v>
      </c>
      <c r="R41" s="29">
        <f>ABS(AB11-AC11)</f>
        <v>97.839999999996508</v>
      </c>
    </row>
    <row r="42" spans="15:18" ht="15" thickBot="1" x14ac:dyDescent="0.35">
      <c r="O42" s="6"/>
      <c r="P42" s="5">
        <f t="shared" si="8"/>
        <v>4000</v>
      </c>
      <c r="Q42" s="20">
        <f>LN(X12)</f>
        <v>8.2940496401020276</v>
      </c>
      <c r="R42" s="29">
        <f>ABS(AB12-AC12)</f>
        <v>53.669999999983702</v>
      </c>
    </row>
    <row r="43" spans="15:18" ht="15" thickBot="1" x14ac:dyDescent="0.35">
      <c r="O43" s="6"/>
      <c r="P43" s="5">
        <f t="shared" si="8"/>
        <v>5000</v>
      </c>
      <c r="Q43" s="20">
        <f>LN(X13)</f>
        <v>8.5171931914162382</v>
      </c>
      <c r="R43" s="29">
        <f>ABS(AB13-AC13)</f>
        <v>54.720000000001164</v>
      </c>
    </row>
    <row r="44" spans="15:18" ht="15" thickBot="1" x14ac:dyDescent="0.35">
      <c r="O44" s="6"/>
      <c r="P44" s="5">
        <f t="shared" si="8"/>
        <v>6000</v>
      </c>
      <c r="Q44" s="20">
        <f>LN(X14)</f>
        <v>8.6995147482101913</v>
      </c>
      <c r="R44" s="29">
        <f>ABS(AB14-AC14)</f>
        <v>67.309999999997672</v>
      </c>
    </row>
    <row r="45" spans="15:18" ht="15" thickBot="1" x14ac:dyDescent="0.35">
      <c r="O45" s="6"/>
      <c r="P45" s="5">
        <f t="shared" si="8"/>
        <v>7000</v>
      </c>
      <c r="Q45" s="20">
        <f>LN(X15)</f>
        <v>8.8536654280374503</v>
      </c>
      <c r="R45" s="29">
        <f>ABS(AB15-AC15)</f>
        <v>65.839999999996508</v>
      </c>
    </row>
    <row r="46" spans="15:18" ht="15" thickBot="1" x14ac:dyDescent="0.35">
      <c r="O46" s="6"/>
      <c r="P46" s="5">
        <f>P45+1000</f>
        <v>8000</v>
      </c>
      <c r="Q46" s="20">
        <f>LN(X16)</f>
        <v>8.987196820661973</v>
      </c>
      <c r="R46" s="29">
        <f>ABS(AB16-AC16)</f>
        <v>60.269999999989523</v>
      </c>
    </row>
    <row r="47" spans="15:18" ht="15" thickBot="1" x14ac:dyDescent="0.35">
      <c r="O47" s="6"/>
      <c r="P47" s="5">
        <f t="shared" ref="P47:P55" si="9">P46+1000</f>
        <v>9000</v>
      </c>
      <c r="Q47" s="20">
        <f>LN(X17)</f>
        <v>9.1049798563183568</v>
      </c>
      <c r="R47" s="29">
        <f>ABS(AB17-AC17)</f>
        <v>63.709999999991851</v>
      </c>
    </row>
    <row r="48" spans="15:18" ht="15" thickBot="1" x14ac:dyDescent="0.35">
      <c r="O48" s="6"/>
      <c r="P48" s="5">
        <f t="shared" si="9"/>
        <v>10000</v>
      </c>
      <c r="Q48" s="20">
        <f>LN(X18)</f>
        <v>9.2103403719761836</v>
      </c>
      <c r="R48" s="29">
        <f>ABS(AB18-AC18)</f>
        <v>62.069999999977881</v>
      </c>
    </row>
    <row r="49" spans="15:18" ht="15" thickBot="1" x14ac:dyDescent="0.35">
      <c r="O49" s="6"/>
      <c r="P49" s="5">
        <f>P48+10000</f>
        <v>20000</v>
      </c>
      <c r="Q49" s="20">
        <f>LN(X19)</f>
        <v>9.9034875525361272</v>
      </c>
      <c r="R49" s="29">
        <f>ABS(AB19-AC19)</f>
        <v>63.369999999995343</v>
      </c>
    </row>
    <row r="50" spans="15:18" ht="15" thickBot="1" x14ac:dyDescent="0.35">
      <c r="O50" s="6"/>
      <c r="P50" s="5">
        <f t="shared" ref="P50:P57" si="10">P49+10000</f>
        <v>30000</v>
      </c>
      <c r="Q50" s="20">
        <f>LN(X20)</f>
        <v>10.308952660644293</v>
      </c>
      <c r="R50" s="29">
        <f>ABS(AB20-AC20)</f>
        <v>63.409999999974389</v>
      </c>
    </row>
    <row r="51" spans="15:18" ht="15" thickBot="1" x14ac:dyDescent="0.35">
      <c r="O51" s="6"/>
      <c r="P51" s="5">
        <f t="shared" si="10"/>
        <v>40000</v>
      </c>
      <c r="Q51" s="20">
        <f>LN(X21)</f>
        <v>10.596634733096073</v>
      </c>
      <c r="R51" s="29">
        <f>ABS(AB21-AC21)</f>
        <v>63.319999999977881</v>
      </c>
    </row>
    <row r="52" spans="15:18" ht="15" thickBot="1" x14ac:dyDescent="0.35">
      <c r="O52" s="6"/>
      <c r="P52" s="5">
        <f t="shared" si="10"/>
        <v>50000</v>
      </c>
      <c r="Q52" s="20">
        <f>LN(X22)</f>
        <v>10.819778284410283</v>
      </c>
      <c r="R52" s="29">
        <f>ABS(AB22-AC22)</f>
        <v>63.209999999991851</v>
      </c>
    </row>
    <row r="53" spans="15:18" ht="15" thickBot="1" x14ac:dyDescent="0.35">
      <c r="O53" s="6"/>
      <c r="P53" s="5">
        <f t="shared" si="10"/>
        <v>60000</v>
      </c>
      <c r="Q53" s="20">
        <f>LN(X23)</f>
        <v>11.002099841204238</v>
      </c>
      <c r="R53" s="29">
        <f>ABS(AB23-AC23)</f>
        <v>63.279999999998836</v>
      </c>
    </row>
    <row r="54" spans="15:18" ht="15" thickBot="1" x14ac:dyDescent="0.35">
      <c r="O54" s="6"/>
      <c r="P54" s="5">
        <f t="shared" si="10"/>
        <v>70000</v>
      </c>
      <c r="Q54" s="20">
        <f>LN(X24)</f>
        <v>11.156250521031495</v>
      </c>
      <c r="R54" s="29">
        <f>ABS(AB24-AC24)</f>
        <v>63.329999999987194</v>
      </c>
    </row>
    <row r="55" spans="15:18" ht="15" thickBot="1" x14ac:dyDescent="0.35">
      <c r="O55" s="6"/>
      <c r="P55" s="5">
        <f t="shared" si="10"/>
        <v>80000</v>
      </c>
      <c r="Q55" s="20">
        <f>LN(X25)</f>
        <v>11.289781913656018</v>
      </c>
      <c r="R55" s="29">
        <f>ABS(AB25-AC25)</f>
        <v>63.309999999997672</v>
      </c>
    </row>
    <row r="56" spans="15:18" ht="15" thickBot="1" x14ac:dyDescent="0.35">
      <c r="O56" s="6"/>
      <c r="P56" s="5">
        <f t="shared" si="10"/>
        <v>90000</v>
      </c>
      <c r="Q56" s="20">
        <f>LN(X26)</f>
        <v>11.407564949312402</v>
      </c>
      <c r="R56" s="29">
        <f>ABS(AB26-AC26)</f>
        <v>63.339999999996508</v>
      </c>
    </row>
    <row r="57" spans="15:18" ht="15" thickBot="1" x14ac:dyDescent="0.35">
      <c r="O57" s="7"/>
      <c r="P57" s="5">
        <f t="shared" si="10"/>
        <v>100000</v>
      </c>
      <c r="Q57" s="20">
        <f>LN(X27)</f>
        <v>11.512925464970229</v>
      </c>
      <c r="R57" s="30">
        <f>ABS(AB27-AC27)</f>
        <v>63.309999999997672</v>
      </c>
    </row>
  </sheetData>
  <mergeCells count="8">
    <mergeCell ref="W8:W27"/>
    <mergeCell ref="Y5:AC5"/>
    <mergeCell ref="O38:O57"/>
    <mergeCell ref="D4:H4"/>
    <mergeCell ref="B7:B26"/>
    <mergeCell ref="D7:D26"/>
    <mergeCell ref="E7:E26"/>
    <mergeCell ref="H7:H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Langone Francioni Coelho</dc:creator>
  <cp:lastModifiedBy>Ivan Langone Francioni Coelho</cp:lastModifiedBy>
  <dcterms:created xsi:type="dcterms:W3CDTF">2025-11-10T17:45:34Z</dcterms:created>
  <dcterms:modified xsi:type="dcterms:W3CDTF">2025-11-11T04:15:18Z</dcterms:modified>
</cp:coreProperties>
</file>